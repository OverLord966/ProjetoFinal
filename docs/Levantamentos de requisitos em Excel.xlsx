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d.docs.live.net/1d8aee91a57a6f63/_Pessoal/_Dar Formação/IEFP/Amadora/6 - UFCD - 10790 - Projeto de programação/1 - Conteudos/Aula 1/Tarefas/"/>
    </mc:Choice>
  </mc:AlternateContent>
  <xr:revisionPtr revIDLastSave="111" documentId="13_ncr:1_{78219426-E1C7-4A4B-B939-2F6F9581879F}" xr6:coauthVersionLast="47" xr6:coauthVersionMax="47" xr10:uidLastSave="{52F5BEFF-2CC8-4247-91A5-C17E16AAFBD7}"/>
  <bookViews>
    <workbookView xWindow="28680" yWindow="-120" windowWidth="29040" windowHeight="15720" tabRatio="500" firstSheet="1" xr2:uid="{00000000-000D-0000-FFFF-FFFF00000000}"/>
  </bookViews>
  <sheets>
    <sheet name="Req. Funcionais (RF)" sheetId="1" r:id="rId1"/>
    <sheet name="Req. Não Funcionais (RNF)" sheetId="2" r:id="rId2"/>
    <sheet name="Resumo" sheetId="3" r:id="rId3"/>
  </sheets>
  <definedNames>
    <definedName name="_xlnm.Print_Titles" localSheetId="0">'Req. Funcionais (RF)'!$1:$4</definedName>
    <definedName name="_xlnm.Print_Titles" localSheetId="1">'Req. Não Funcionais (RNF)'!$1:$4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3" l="1"/>
  <c r="B11" i="3"/>
  <c r="D11" i="3" s="1"/>
  <c r="C10" i="3"/>
  <c r="B10" i="3"/>
  <c r="D10" i="3" s="1"/>
  <c r="C9" i="3"/>
  <c r="B9" i="3"/>
  <c r="D9" i="3" s="1"/>
  <c r="C8" i="3"/>
  <c r="B8" i="3"/>
  <c r="C7" i="3"/>
  <c r="B7" i="3"/>
  <c r="C6" i="3"/>
  <c r="B6" i="3"/>
  <c r="D6" i="3" s="1"/>
  <c r="C5" i="3"/>
  <c r="E14" i="2"/>
  <c r="E14" i="1"/>
  <c r="B5" i="3" s="1"/>
  <c r="D5" i="3" s="1"/>
  <c r="D8" i="3" l="1"/>
  <c r="D7" i="3"/>
</calcChain>
</file>

<file path=xl/sharedStrings.xml><?xml version="1.0" encoding="utf-8"?>
<sst xmlns="http://schemas.openxmlformats.org/spreadsheetml/2006/main" count="121" uniqueCount="66">
  <si>
    <t>UFCD 10790 – Levantamento de Requisitos Funcionais (RF)   |   Projeto: ___________________________   |   Grupo: ___________</t>
  </si>
  <si>
    <t>Data: 02/06/2026     Versão: 1.0     Formador: Carlos Barata     Estado geral: Em curso</t>
  </si>
  <si>
    <t>ID</t>
  </si>
  <si>
    <t>Nome do Requisito</t>
  </si>
  <si>
    <t>Descrição Detalhada</t>
  </si>
  <si>
    <t>Ator / Utilizador</t>
  </si>
  <si>
    <t>Estado</t>
  </si>
  <si>
    <t>RF01</t>
  </si>
  <si>
    <t>Interface em consola </t>
  </si>
  <si>
    <t>A aplicação deve funcionar exclusivamente em linha de comandos (CLI). </t>
  </si>
  <si>
    <t>Alta</t>
  </si>
  <si>
    <t>Pendente</t>
  </si>
  <si>
    <t>RF02</t>
  </si>
  <si>
    <t>Usabilidade </t>
  </si>
  <si>
    <t>O menu deve ser simples, intuitivo e utilizável sem formação prévia. </t>
  </si>
  <si>
    <t>RF03</t>
  </si>
  <si>
    <t>Desempenho </t>
  </si>
  <si>
    <t>As operações devem ser executadas em menos de 1 segundo. </t>
  </si>
  <si>
    <t>Média</t>
  </si>
  <si>
    <t>RF04</t>
  </si>
  <si>
    <t>Portabilidade </t>
  </si>
  <si>
    <t>O programa deve funcionar em qualquer computador com Python instalado. </t>
  </si>
  <si>
    <t>RF05</t>
  </si>
  <si>
    <t>Estrutura modular </t>
  </si>
  <si>
    <t>O código deve estar organizado em funções para facilitar manutenção e leitura. </t>
  </si>
  <si>
    <t>RF06</t>
  </si>
  <si>
    <t>Persistência de dados </t>
  </si>
  <si>
    <t>Os dados devem permanecer guardados mesmo após encerrar o programa. </t>
  </si>
  <si>
    <t>RF07</t>
  </si>
  <si>
    <t>Tratamento de erros </t>
  </si>
  <si>
    <t>O sistema deve lidar com entradas inválidas sem falhar ou encerrar inesperadamente. </t>
  </si>
  <si>
    <t>RF08</t>
  </si>
  <si>
    <t>Documentação </t>
  </si>
  <si>
    <t>O código deve incluir comentários explicativos para facilitar compreensão. </t>
  </si>
  <si>
    <t>RF09</t>
  </si>
  <si>
    <t>Segurança básica </t>
  </si>
  <si>
    <t>O ficheiro de dados não deve corromper mesmo em encerramento inesperado. </t>
  </si>
  <si>
    <t>Baixa</t>
  </si>
  <si>
    <t>Total de requisitos Funcionais (RF)</t>
  </si>
  <si>
    <t>Prioridade:    Alta = obrigatório para a entrega    |    Média = importante mas não crítico    |    Baixa = nice-to-have</t>
  </si>
  <si>
    <t xml:space="preserve">UFCD 10790 – Levantamento de Requisitos Não Funcionais (RNF)   |   Projeto: Gestão de Tarefas </t>
  </si>
  <si>
    <t>Data: 02/06/2026     Versão: 1.0     Formador: Carlos Barata    Estado geral: Em curso</t>
  </si>
  <si>
    <t>Prioridade</t>
  </si>
  <si>
    <t>RNF01</t>
  </si>
  <si>
    <t>RNF02</t>
  </si>
  <si>
    <t>RNF03</t>
  </si>
  <si>
    <t>RNF04</t>
  </si>
  <si>
    <t>RNF05</t>
  </si>
  <si>
    <t>RNF06</t>
  </si>
  <si>
    <t>RNF07</t>
  </si>
  <si>
    <t>RNF08</t>
  </si>
  <si>
    <t>RNF09</t>
  </si>
  <si>
    <t>Total de requisitos Não Funcionais (RNF)</t>
  </si>
  <si>
    <t>UFCD 10790 — Resumo do Levantamento de Requisitos</t>
  </si>
  <si>
    <t>Projeto: ___________________________   |   Grupo: ___________   |   Data: ___/___/______</t>
  </si>
  <si>
    <t>Indicador</t>
  </si>
  <si>
    <t>Funcionais (RF)</t>
  </si>
  <si>
    <t>Não Funcionais (RNF)</t>
  </si>
  <si>
    <t>Total</t>
  </si>
  <si>
    <t>Total de Requisitos</t>
  </si>
  <si>
    <t>Prioridade Alta</t>
  </si>
  <si>
    <t>Prioridade Média</t>
  </si>
  <si>
    <t>Prioridade Baixa</t>
  </si>
  <si>
    <t>Concluídos</t>
  </si>
  <si>
    <t>Pendentes</t>
  </si>
  <si>
    <t>Em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</si>
</sst>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004D26"/>
      <name val="Arial"/>
      <charset val="1"/>
    </font>
    <font>
      <b/>
      <sz val="10"/>
      <color rgb="FFFFFFFF"/>
      <name val="Arial"/>
      <charset val="1"/>
    </font>
    <font>
      <b/>
      <sz val="10"/>
      <color rgb="FF004D26"/>
      <name val="Arial"/>
      <charset val="1"/>
    </font>
    <font>
      <sz val="10"/>
      <color rgb="FF1A1A1A"/>
      <name val="Arial"/>
      <charset val="1"/>
    </font>
    <font>
      <b/>
      <sz val="10"/>
      <color rgb="FFB71C1C"/>
      <name val="Arial"/>
      <charset val="1"/>
    </font>
    <font>
      <sz val="10"/>
      <color rgb="FF555555"/>
      <name val="Arial"/>
      <charset val="1"/>
    </font>
    <font>
      <b/>
      <sz val="10"/>
      <color rgb="FFE65100"/>
      <name val="Arial"/>
      <charset val="1"/>
    </font>
    <font>
      <b/>
      <i/>
      <sz val="10"/>
      <color rgb="FF004D26"/>
      <name val="Arial"/>
      <charset val="1"/>
    </font>
    <font>
      <i/>
      <sz val="10"/>
      <color rgb="FFAAAAAA"/>
      <name val="Arial"/>
      <charset val="1"/>
    </font>
    <font>
      <b/>
      <sz val="11"/>
      <color rgb="FFFFFFFF"/>
      <name val="Arial"/>
      <charset val="1"/>
    </font>
    <font>
      <i/>
      <sz val="9"/>
      <color rgb="FF555555"/>
      <name val="Arial"/>
      <charset val="1"/>
    </font>
    <font>
      <i/>
      <sz val="9"/>
      <color rgb="FF4A148C"/>
      <name val="Arial"/>
      <charset val="1"/>
    </font>
    <font>
      <b/>
      <sz val="10"/>
      <color rgb="FF4A148C"/>
      <name val="Arial"/>
      <charset val="1"/>
    </font>
    <font>
      <b/>
      <i/>
      <sz val="10"/>
      <color rgb="FF4A148C"/>
      <name val="Arial"/>
      <charset val="1"/>
    </font>
    <font>
      <b/>
      <sz val="14"/>
      <color rgb="FFFFFFFF"/>
      <name val="Arial"/>
      <charset val="1"/>
    </font>
    <font>
      <i/>
      <sz val="10"/>
      <color rgb="FF004D26"/>
      <name val="Arial"/>
      <charset val="1"/>
    </font>
    <font>
      <b/>
      <sz val="11"/>
      <color rgb="FF004D26"/>
      <name val="Arial"/>
      <charset val="1"/>
    </font>
    <font>
      <b/>
      <sz val="11"/>
      <color rgb="FF4A148C"/>
      <name val="Arial"/>
      <charset val="1"/>
    </font>
    <font>
      <sz val="11"/>
      <color rgb="FF004D26"/>
      <name val="Arial"/>
      <charset val="1"/>
    </font>
    <font>
      <sz val="11"/>
      <color rgb="FF4A148C"/>
      <name val="Arial"/>
      <charset val="1"/>
    </font>
    <font>
      <sz val="10"/>
      <name val="Aptos"/>
      <charset val="1"/>
    </font>
  </fonts>
  <fills count="11">
    <fill>
      <patternFill patternType="none"/>
    </fill>
    <fill>
      <patternFill patternType="gray125"/>
    </fill>
    <fill>
      <patternFill patternType="solid">
        <fgColor rgb="FF004D26"/>
        <bgColor rgb="FF003300"/>
      </patternFill>
    </fill>
    <fill>
      <patternFill patternType="solid">
        <fgColor rgb="FFE8F5E9"/>
        <bgColor rgb="FFEEEEEE"/>
      </patternFill>
    </fill>
    <fill>
      <patternFill patternType="solid">
        <fgColor rgb="FFFFFFFF"/>
        <bgColor rgb="FFFAFAFA"/>
      </patternFill>
    </fill>
    <fill>
      <patternFill patternType="solid">
        <fgColor rgb="FFFFEBEE"/>
        <bgColor rgb="FFFFF3E0"/>
      </patternFill>
    </fill>
    <fill>
      <patternFill patternType="solid">
        <fgColor rgb="FFF5F5F5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3E0"/>
        <bgColor rgb="FFFFEBEE"/>
      </patternFill>
    </fill>
    <fill>
      <patternFill patternType="solid">
        <fgColor rgb="FF4A148C"/>
        <bgColor rgb="FF333399"/>
      </patternFill>
    </fill>
    <fill>
      <patternFill patternType="solid">
        <fgColor rgb="FFF3E5F5"/>
        <bgColor rgb="FFEEEEEE"/>
      </patternFill>
    </fill>
  </fills>
  <borders count="7">
    <border>
      <left/>
      <right/>
      <top/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dashed">
        <color rgb="FFEEEEEE"/>
      </left>
      <right style="dashed">
        <color rgb="FFEEEEEE"/>
      </right>
      <top style="dashed">
        <color rgb="FFEEEEEE"/>
      </top>
      <bottom style="dashed">
        <color rgb="FFEEEEEE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4" fillId="3" borderId="5" xfId="0" applyFont="1" applyFill="1" applyBorder="1" applyAlignment="1">
      <alignment horizontal="left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9" fillId="10" borderId="5" xfId="0" applyFont="1" applyFill="1" applyBorder="1" applyAlignment="1">
      <alignment horizontal="center" vertical="center" wrapText="1"/>
    </xf>
    <xf numFmtId="0" fontId="0" fillId="4" borderId="0" xfId="0" applyFill="1"/>
    <xf numFmtId="0" fontId="5" fillId="4" borderId="5" xfId="0" applyFont="1" applyFill="1" applyBorder="1" applyAlignment="1">
      <alignment horizontal="left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left" vertical="center" wrapText="1"/>
    </xf>
    <xf numFmtId="0" fontId="13" fillId="10" borderId="0" xfId="0" applyFont="1" applyFill="1" applyAlignment="1">
      <alignment horizontal="left" vertical="center" wrapText="1"/>
    </xf>
    <xf numFmtId="0" fontId="3" fillId="9" borderId="4" xfId="0" applyFont="1" applyFill="1" applyBorder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left" vertical="center" wrapText="1"/>
    </xf>
    <xf numFmtId="0" fontId="22" fillId="0" borderId="6" xfId="0" applyFont="1" applyBorder="1" applyAlignment="1">
      <alignment wrapText="1" readingOrder="1"/>
    </xf>
    <xf numFmtId="0" fontId="22" fillId="0" borderId="6" xfId="0" applyFont="1" applyBorder="1" applyAlignment="1">
      <alignment horizontal="left" vertical="top" wrapText="1" readingOrder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8F5E9"/>
      <rgbColor rgb="FF4A148C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5F5F5"/>
      <rgbColor rgb="FFFFEBEE"/>
      <rgbColor rgb="FFFAFAFA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555555"/>
      <rgbColor rgb="FFAAAAAA"/>
      <rgbColor rgb="FF004D26"/>
      <rgbColor rgb="FF339966"/>
      <rgbColor rgb="FF003300"/>
      <rgbColor rgb="FF333300"/>
      <rgbColor rgb="FFB71C1C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showGridLines="0" tabSelected="1" zoomScaleNormal="100" workbookViewId="0">
      <pane ySplit="4" topLeftCell="A5" activePane="bottomLeft" state="frozen"/>
      <selection pane="bottomLeft" activeCell="A2" sqref="A2:E2"/>
    </sheetView>
  </sheetViews>
  <sheetFormatPr defaultColWidth="8.7109375" defaultRowHeight="15"/>
  <cols>
    <col min="1" max="1" width="7" customWidth="1"/>
    <col min="2" max="2" width="24" customWidth="1"/>
    <col min="3" max="3" width="42" customWidth="1"/>
    <col min="4" max="4" width="16" customWidth="1"/>
    <col min="5" max="5" width="12" customWidth="1"/>
  </cols>
  <sheetData>
    <row r="1" spans="1:5" ht="25.5" customHeight="1">
      <c r="A1" s="30" t="s">
        <v>0</v>
      </c>
      <c r="B1" s="30"/>
      <c r="C1" s="30"/>
      <c r="D1" s="30"/>
      <c r="E1" s="30"/>
    </row>
    <row r="2" spans="1:5" ht="18" customHeight="1">
      <c r="A2" s="31" t="s">
        <v>1</v>
      </c>
      <c r="B2" s="31"/>
      <c r="C2" s="31"/>
      <c r="D2" s="31"/>
      <c r="E2" s="31"/>
    </row>
    <row r="3" spans="1:5" ht="6" customHeight="1"/>
    <row r="4" spans="1:5" ht="21.7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0" customHeight="1">
      <c r="A5" s="2" t="s">
        <v>7</v>
      </c>
      <c r="B5" s="35" t="s">
        <v>8</v>
      </c>
      <c r="C5" s="35" t="s">
        <v>9</v>
      </c>
      <c r="D5" s="3" t="s">
        <v>10</v>
      </c>
      <c r="E5" s="4" t="s">
        <v>11</v>
      </c>
    </row>
    <row r="6" spans="1:5" ht="25.5">
      <c r="A6" s="5" t="s">
        <v>12</v>
      </c>
      <c r="B6" s="35" t="s">
        <v>13</v>
      </c>
      <c r="C6" s="35" t="s">
        <v>14</v>
      </c>
      <c r="D6" s="3" t="s">
        <v>10</v>
      </c>
      <c r="E6" s="4" t="s">
        <v>11</v>
      </c>
    </row>
    <row r="7" spans="1:5" ht="25.5">
      <c r="A7" s="2" t="s">
        <v>15</v>
      </c>
      <c r="B7" s="35" t="s">
        <v>16</v>
      </c>
      <c r="C7" s="35" t="s">
        <v>17</v>
      </c>
      <c r="D7" s="6" t="s">
        <v>18</v>
      </c>
      <c r="E7" s="4" t="s">
        <v>11</v>
      </c>
    </row>
    <row r="8" spans="1:5" ht="25.5">
      <c r="A8" s="5" t="s">
        <v>19</v>
      </c>
      <c r="B8" s="34" t="s">
        <v>20</v>
      </c>
      <c r="C8" s="34" t="s">
        <v>21</v>
      </c>
      <c r="D8" s="3" t="s">
        <v>10</v>
      </c>
      <c r="E8" s="4" t="s">
        <v>11</v>
      </c>
    </row>
    <row r="9" spans="1:5" ht="25.5">
      <c r="A9" s="2" t="s">
        <v>22</v>
      </c>
      <c r="B9" s="34" t="s">
        <v>23</v>
      </c>
      <c r="C9" s="34" t="s">
        <v>24</v>
      </c>
      <c r="D9" s="6" t="s">
        <v>18</v>
      </c>
      <c r="E9" s="4" t="s">
        <v>11</v>
      </c>
    </row>
    <row r="10" spans="1:5" ht="30" customHeight="1">
      <c r="A10" s="5" t="s">
        <v>25</v>
      </c>
      <c r="B10" s="34" t="s">
        <v>26</v>
      </c>
      <c r="C10" s="34" t="s">
        <v>27</v>
      </c>
      <c r="D10" s="3" t="s">
        <v>10</v>
      </c>
      <c r="E10" s="4" t="s">
        <v>11</v>
      </c>
    </row>
    <row r="11" spans="1:5" ht="30" customHeight="1">
      <c r="A11" s="2" t="s">
        <v>28</v>
      </c>
      <c r="B11" s="34" t="s">
        <v>29</v>
      </c>
      <c r="C11" s="34" t="s">
        <v>30</v>
      </c>
      <c r="D11" s="3" t="s">
        <v>10</v>
      </c>
      <c r="E11" s="4" t="s">
        <v>11</v>
      </c>
    </row>
    <row r="12" spans="1:5" ht="27.75" customHeight="1">
      <c r="A12" s="7" t="s">
        <v>31</v>
      </c>
      <c r="B12" s="34" t="s">
        <v>32</v>
      </c>
      <c r="C12" s="34" t="s">
        <v>33</v>
      </c>
      <c r="D12" s="6" t="s">
        <v>18</v>
      </c>
      <c r="E12" s="4" t="s">
        <v>11</v>
      </c>
    </row>
    <row r="13" spans="1:5" ht="27.75" customHeight="1">
      <c r="A13" s="7" t="s">
        <v>34</v>
      </c>
      <c r="B13" s="34" t="s">
        <v>35</v>
      </c>
      <c r="C13" s="34" t="s">
        <v>36</v>
      </c>
      <c r="D13" s="14" t="s">
        <v>37</v>
      </c>
      <c r="E13" s="4" t="s">
        <v>11</v>
      </c>
    </row>
    <row r="14" spans="1:5" ht="19.5" customHeight="1">
      <c r="A14" s="36" t="s">
        <v>38</v>
      </c>
      <c r="B14" s="36"/>
      <c r="C14" s="36"/>
      <c r="D14" s="36"/>
      <c r="E14" s="10">
        <f>COUNTA(A5:A13)</f>
        <v>9</v>
      </c>
    </row>
    <row r="15" spans="1:5">
      <c r="A15" s="29" t="s">
        <v>39</v>
      </c>
      <c r="B15" s="29"/>
      <c r="C15" s="29"/>
      <c r="D15" s="29"/>
      <c r="E15" s="29"/>
    </row>
    <row r="16" spans="1:5" ht="18" customHeight="1"/>
  </sheetData>
  <mergeCells count="4">
    <mergeCell ref="A1:E1"/>
    <mergeCell ref="A2:E2"/>
    <mergeCell ref="A14:D14"/>
    <mergeCell ref="A15:E15"/>
  </mergeCells>
  <dataValidations count="2">
    <dataValidation type="list" sqref="D5:D13" xr:uid="{00000000-0002-0000-0000-000000000000}">
      <formula1>"Alta,Média,Baixa"</formula1>
      <formula2>0</formula2>
    </dataValidation>
    <dataValidation type="list" sqref="E5:E13" xr:uid="{00000000-0002-0000-0000-000001000000}">
      <formula1>"Pendente,Em curso,Concluído,Cancelado"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6"/>
  <sheetViews>
    <sheetView showGridLines="0" zoomScaleNormal="100" workbookViewId="0">
      <pane ySplit="4" topLeftCell="A5" activePane="bottomLeft" state="frozen"/>
      <selection pane="bottomLeft" activeCell="A2" sqref="A2:F2"/>
    </sheetView>
  </sheetViews>
  <sheetFormatPr defaultColWidth="8.7109375" defaultRowHeight="15"/>
  <cols>
    <col min="1" max="1" width="7" customWidth="1"/>
    <col min="2" max="2" width="24" customWidth="1"/>
    <col min="3" max="3" width="42" customWidth="1"/>
    <col min="4" max="4" width="16" customWidth="1"/>
    <col min="5" max="5" width="12" customWidth="1"/>
    <col min="6" max="6" width="16" customWidth="1"/>
  </cols>
  <sheetData>
    <row r="1" spans="1:6" ht="25.5" customHeight="1">
      <c r="A1" s="26" t="s">
        <v>40</v>
      </c>
      <c r="B1" s="26"/>
      <c r="C1" s="26"/>
      <c r="D1" s="26"/>
      <c r="E1" s="26"/>
      <c r="F1" s="26"/>
    </row>
    <row r="2" spans="1:6" ht="18" customHeight="1">
      <c r="A2" s="27" t="s">
        <v>41</v>
      </c>
      <c r="B2" s="27"/>
      <c r="C2" s="27"/>
      <c r="D2" s="27"/>
      <c r="E2" s="27"/>
      <c r="F2" s="27"/>
    </row>
    <row r="3" spans="1:6" ht="6" customHeight="1"/>
    <row r="4" spans="1:6" ht="21.75" customHeight="1">
      <c r="A4" s="11" t="s">
        <v>2</v>
      </c>
      <c r="B4" s="11" t="s">
        <v>3</v>
      </c>
      <c r="C4" s="11" t="s">
        <v>4</v>
      </c>
      <c r="D4" s="11" t="s">
        <v>42</v>
      </c>
      <c r="E4" s="11" t="s">
        <v>6</v>
      </c>
    </row>
    <row r="5" spans="1:6" ht="36.75" customHeight="1">
      <c r="A5" s="12" t="s">
        <v>43</v>
      </c>
      <c r="B5" s="35" t="s">
        <v>8</v>
      </c>
      <c r="C5" s="35" t="s">
        <v>9</v>
      </c>
      <c r="D5" s="3" t="s">
        <v>10</v>
      </c>
      <c r="E5" s="4" t="s">
        <v>11</v>
      </c>
    </row>
    <row r="6" spans="1:6" ht="29.25" customHeight="1">
      <c r="A6" s="13" t="s">
        <v>44</v>
      </c>
      <c r="B6" s="35" t="s">
        <v>13</v>
      </c>
      <c r="C6" s="35" t="s">
        <v>14</v>
      </c>
      <c r="D6" s="3" t="s">
        <v>10</v>
      </c>
      <c r="E6" s="4" t="s">
        <v>11</v>
      </c>
    </row>
    <row r="7" spans="1:6" ht="34.5" customHeight="1">
      <c r="A7" s="12" t="s">
        <v>45</v>
      </c>
      <c r="B7" s="35" t="s">
        <v>16</v>
      </c>
      <c r="C7" s="35" t="s">
        <v>17</v>
      </c>
      <c r="D7" s="6" t="s">
        <v>18</v>
      </c>
      <c r="E7" s="4" t="s">
        <v>11</v>
      </c>
    </row>
    <row r="8" spans="1:6" ht="30" customHeight="1">
      <c r="A8" s="13" t="s">
        <v>46</v>
      </c>
      <c r="B8" s="34" t="s">
        <v>20</v>
      </c>
      <c r="C8" s="34" t="s">
        <v>21</v>
      </c>
      <c r="D8" s="3" t="s">
        <v>10</v>
      </c>
      <c r="E8" s="4" t="s">
        <v>11</v>
      </c>
    </row>
    <row r="9" spans="1:6" ht="30" customHeight="1">
      <c r="A9" s="12" t="s">
        <v>47</v>
      </c>
      <c r="B9" s="34" t="s">
        <v>23</v>
      </c>
      <c r="C9" s="34" t="s">
        <v>24</v>
      </c>
      <c r="D9" s="6" t="s">
        <v>18</v>
      </c>
      <c r="E9" s="4" t="s">
        <v>11</v>
      </c>
    </row>
    <row r="10" spans="1:6" ht="27.75" customHeight="1">
      <c r="A10" s="15" t="s">
        <v>48</v>
      </c>
      <c r="B10" s="34" t="s">
        <v>26</v>
      </c>
      <c r="C10" s="34" t="s">
        <v>27</v>
      </c>
      <c r="D10" s="3" t="s">
        <v>10</v>
      </c>
      <c r="E10" s="4" t="s">
        <v>11</v>
      </c>
    </row>
    <row r="11" spans="1:6" ht="27.75" customHeight="1">
      <c r="A11" s="15" t="s">
        <v>49</v>
      </c>
      <c r="B11" s="34" t="s">
        <v>29</v>
      </c>
      <c r="C11" s="34" t="s">
        <v>30</v>
      </c>
      <c r="D11" s="3" t="s">
        <v>10</v>
      </c>
      <c r="E11" s="4" t="s">
        <v>11</v>
      </c>
      <c r="F11" s="9"/>
    </row>
    <row r="12" spans="1:6" ht="27.75" customHeight="1">
      <c r="A12" s="15" t="s">
        <v>50</v>
      </c>
      <c r="B12" s="34" t="s">
        <v>32</v>
      </c>
      <c r="C12" s="34" t="s">
        <v>33</v>
      </c>
      <c r="D12" s="6" t="s">
        <v>18</v>
      </c>
      <c r="E12" s="4" t="s">
        <v>11</v>
      </c>
      <c r="F12" s="8"/>
    </row>
    <row r="13" spans="1:6" ht="27.75" customHeight="1">
      <c r="A13" s="15" t="s">
        <v>51</v>
      </c>
      <c r="B13" s="34" t="s">
        <v>35</v>
      </c>
      <c r="C13" s="34" t="s">
        <v>36</v>
      </c>
      <c r="D13" s="14" t="s">
        <v>37</v>
      </c>
      <c r="E13" s="4" t="s">
        <v>11</v>
      </c>
      <c r="F13" s="9"/>
    </row>
    <row r="14" spans="1:6" ht="19.5" customHeight="1">
      <c r="A14" s="28" t="s">
        <v>52</v>
      </c>
      <c r="B14" s="28"/>
      <c r="C14" s="28"/>
      <c r="D14" s="28"/>
      <c r="E14" s="16">
        <f>COUNTA(A5:A13)</f>
        <v>9</v>
      </c>
      <c r="F14" s="17"/>
    </row>
    <row r="16" spans="1:6" ht="18" customHeight="1">
      <c r="A16" s="29" t="s">
        <v>39</v>
      </c>
      <c r="B16" s="29"/>
      <c r="C16" s="29"/>
      <c r="D16" s="29"/>
      <c r="E16" s="29"/>
      <c r="F16" s="29"/>
    </row>
  </sheetData>
  <mergeCells count="4">
    <mergeCell ref="A1:F1"/>
    <mergeCell ref="A2:F2"/>
    <mergeCell ref="A14:D14"/>
    <mergeCell ref="A16:F16"/>
  </mergeCells>
  <dataValidations count="2">
    <dataValidation type="list" sqref="D5:D13" xr:uid="{00000000-0002-0000-0100-000000000000}">
      <formula1>"Alta,Média,Baixa"</formula1>
      <formula2>0</formula2>
    </dataValidation>
    <dataValidation type="list" sqref="E5:E13" xr:uid="{00000000-0002-0000-0100-000001000000}">
      <formula1>"Pendente,Em curso,Concluído,Cancelado"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zoomScaleNormal="100" workbookViewId="0">
      <selection activeCell="D11" sqref="D11"/>
    </sheetView>
  </sheetViews>
  <sheetFormatPr defaultColWidth="8.7109375" defaultRowHeight="15"/>
  <cols>
    <col min="1" max="1" width="30" customWidth="1"/>
    <col min="2" max="5" width="18" customWidth="1"/>
  </cols>
  <sheetData>
    <row r="1" spans="1:5" ht="30" customHeight="1">
      <c r="A1" s="32" t="s">
        <v>53</v>
      </c>
      <c r="B1" s="32"/>
      <c r="C1" s="32"/>
      <c r="D1" s="32"/>
      <c r="E1" s="32"/>
    </row>
    <row r="2" spans="1:5" ht="18" customHeight="1">
      <c r="A2" s="33" t="s">
        <v>54</v>
      </c>
      <c r="B2" s="33"/>
      <c r="C2" s="33"/>
      <c r="D2" s="33"/>
      <c r="E2" s="33"/>
    </row>
    <row r="3" spans="1:5" ht="9.75" customHeight="1"/>
    <row r="4" spans="1:5" ht="19.5" customHeight="1">
      <c r="A4" s="1" t="s">
        <v>55</v>
      </c>
      <c r="B4" s="1" t="s">
        <v>56</v>
      </c>
      <c r="C4" s="1" t="s">
        <v>57</v>
      </c>
      <c r="D4" s="1" t="s">
        <v>58</v>
      </c>
      <c r="E4" s="1"/>
    </row>
    <row r="5" spans="1:5" ht="21.75" customHeight="1">
      <c r="A5" s="18" t="s">
        <v>59</v>
      </c>
      <c r="B5" s="19">
        <f>'Req. Funcionais (RF)'!E14</f>
        <v>9</v>
      </c>
      <c r="C5" s="20" t="e">
        <f>'Req. Não Funcionais (RNF)'!#REF!</f>
        <v>#REF!</v>
      </c>
      <c r="D5" s="19" t="e">
        <f t="shared" ref="D5:D11" si="0">B5+C5</f>
        <v>#REF!</v>
      </c>
      <c r="E5" s="21"/>
    </row>
    <row r="6" spans="1:5" ht="21.75" customHeight="1">
      <c r="A6" s="22" t="s">
        <v>60</v>
      </c>
      <c r="B6" s="23">
        <f>COUNTIF('Req. Funcionais (RF)'!E5:E13,"Alta")</f>
        <v>0</v>
      </c>
      <c r="C6" s="24">
        <f>COUNTIF('Req. Não Funcionais (RNF)'!E5:E13,"Alta")</f>
        <v>0</v>
      </c>
      <c r="D6" s="25">
        <f t="shared" si="0"/>
        <v>0</v>
      </c>
      <c r="E6" s="21"/>
    </row>
    <row r="7" spans="1:5" ht="21.75" customHeight="1">
      <c r="A7" s="22" t="s">
        <v>61</v>
      </c>
      <c r="B7" s="23">
        <f>COUNTIF('Req. Funcionais (RF)'!E5:E13,"Média")</f>
        <v>0</v>
      </c>
      <c r="C7" s="24">
        <f>COUNTIF('Req. Não Funcionais (RNF)'!E5:E13,"Média")</f>
        <v>0</v>
      </c>
      <c r="D7" s="25">
        <f t="shared" si="0"/>
        <v>0</v>
      </c>
      <c r="E7" s="21"/>
    </row>
    <row r="8" spans="1:5" ht="21.75" customHeight="1">
      <c r="A8" s="22" t="s">
        <v>62</v>
      </c>
      <c r="B8" s="23">
        <f>COUNTIF('Req. Funcionais (RF)'!E5:E13,"Baixa")</f>
        <v>0</v>
      </c>
      <c r="C8" s="24">
        <f>COUNTIF('Req. Não Funcionais (RNF)'!E5:E13,"Baixa")</f>
        <v>0</v>
      </c>
      <c r="D8" s="25">
        <f t="shared" si="0"/>
        <v>0</v>
      </c>
      <c r="E8" s="21"/>
    </row>
    <row r="9" spans="1:5" ht="21.75" customHeight="1">
      <c r="A9" s="22" t="s">
        <v>63</v>
      </c>
      <c r="B9" s="23" t="e">
        <f>COUNTIF('Req. Funcionais (RF)'!#REF!,"Concluído")</f>
        <v>#REF!</v>
      </c>
      <c r="C9" s="24" t="e">
        <f>COUNTIF('Req. Não Funcionais (RNF)'!#REF!,"Concluído")</f>
        <v>#REF!</v>
      </c>
      <c r="D9" s="25" t="e">
        <f t="shared" si="0"/>
        <v>#REF!</v>
      </c>
      <c r="E9" s="21"/>
    </row>
    <row r="10" spans="1:5" ht="21.75" customHeight="1">
      <c r="A10" s="22" t="s">
        <v>64</v>
      </c>
      <c r="B10" s="23" t="e">
        <f>COUNTIF('Req. Funcionais (RF)'!#REF!,"Pendente")</f>
        <v>#REF!</v>
      </c>
      <c r="C10" s="24" t="e">
        <f>COUNTIF('Req. Não Funcionais (RNF)'!#REF!,"Pendente")</f>
        <v>#REF!</v>
      </c>
      <c r="D10" s="25" t="e">
        <f t="shared" si="0"/>
        <v>#REF!</v>
      </c>
      <c r="E10" s="21"/>
    </row>
    <row r="11" spans="1:5" ht="21.75" customHeight="1">
      <c r="A11" s="22" t="s">
        <v>65</v>
      </c>
      <c r="B11" s="23" t="e">
        <f>COUNTIF('Req. Funcionais (RF)'!#REF!,"Em curso")</f>
        <v>#REF!</v>
      </c>
      <c r="C11" s="24" t="e">
        <f>COUNTIF('Req. Não Funcionais (RNF)'!#REF!,"Em curso")</f>
        <v>#REF!</v>
      </c>
      <c r="D11" s="25" t="e">
        <f t="shared" si="0"/>
        <v>#REF!</v>
      </c>
      <c r="E11" s="21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Barata</dc:creator>
  <cp:keywords/>
  <dc:description/>
  <cp:lastModifiedBy>DIOGO AMARO</cp:lastModifiedBy>
  <cp:revision>0</cp:revision>
  <dcterms:created xsi:type="dcterms:W3CDTF">2026-06-01T18:35:13Z</dcterms:created>
  <dcterms:modified xsi:type="dcterms:W3CDTF">2026-06-02T11:48:28Z</dcterms:modified>
  <cp:category/>
  <cp:contentStatus/>
</cp:coreProperties>
</file>